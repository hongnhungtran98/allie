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df1a85449480bc/Documents/"/>
    </mc:Choice>
  </mc:AlternateContent>
  <xr:revisionPtr revIDLastSave="368" documentId="8_{53ACAB12-1C93-49DE-BA51-C2EE6751FF75}" xr6:coauthVersionLast="47" xr6:coauthVersionMax="47" xr10:uidLastSave="{641E30E8-8FD4-446F-A29C-88476D6A9DA2}"/>
  <bookViews>
    <workbookView xWindow="-120" yWindow="-120" windowWidth="29040" windowHeight="15720" xr2:uid="{E38D6B03-2281-411C-A02D-769079F50812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8" i="1"/>
  <c r="C17" i="1"/>
  <c r="I17" i="1"/>
  <c r="K7" i="1"/>
  <c r="K4" i="1"/>
  <c r="K5" i="1"/>
  <c r="K6" i="1"/>
  <c r="K3" i="1"/>
  <c r="G17" i="1"/>
  <c r="I19" i="1" l="1"/>
  <c r="L12" i="1" l="1"/>
  <c r="P12" i="1" s="1"/>
  <c r="L13" i="1"/>
  <c r="P13" i="1" s="1"/>
  <c r="L11" i="1"/>
  <c r="P11" i="1" s="1"/>
  <c r="L10" i="1"/>
  <c r="P10" i="1" s="1"/>
  <c r="L9" i="1"/>
  <c r="P9" i="1" s="1"/>
  <c r="L15" i="1"/>
  <c r="P15" i="1" s="1"/>
  <c r="L8" i="1"/>
  <c r="P8" i="1" s="1"/>
  <c r="L5" i="1"/>
  <c r="P5" i="1" s="1"/>
  <c r="L6" i="1"/>
  <c r="P6" i="1" s="1"/>
  <c r="L7" i="1"/>
  <c r="P7" i="1" s="1"/>
  <c r="L14" i="1"/>
  <c r="P14" i="1" s="1"/>
  <c r="L3" i="1"/>
  <c r="L4" i="1"/>
  <c r="P4" i="1" l="1"/>
  <c r="P3" i="1"/>
  <c r="L17" i="1"/>
</calcChain>
</file>

<file path=xl/sharedStrings.xml><?xml version="1.0" encoding="utf-8"?>
<sst xmlns="http://schemas.openxmlformats.org/spreadsheetml/2006/main" count="25" uniqueCount="21">
  <si>
    <t>Người đặt</t>
  </si>
  <si>
    <t>Anh Hưng</t>
  </si>
  <si>
    <t>Anh Trung</t>
  </si>
  <si>
    <t>Vân</t>
  </si>
  <si>
    <t>Nhung</t>
  </si>
  <si>
    <t>Dung</t>
  </si>
  <si>
    <t>Minh</t>
  </si>
  <si>
    <t>Số tiền của món</t>
  </si>
  <si>
    <t>Số tiền được giảm giá</t>
  </si>
  <si>
    <t>Tổng</t>
  </si>
  <si>
    <t>Tiền ship</t>
  </si>
  <si>
    <t>Số tiền của mỗi người:</t>
  </si>
  <si>
    <t>Tổng bill</t>
  </si>
  <si>
    <t>Text</t>
  </si>
  <si>
    <t>Thanh</t>
  </si>
  <si>
    <t>Hưng</t>
  </si>
  <si>
    <t>Khanh</t>
  </si>
  <si>
    <t>Phúc</t>
  </si>
  <si>
    <t>Bé Thanh</t>
  </si>
  <si>
    <t>Giang</t>
  </si>
  <si>
    <t>Bảo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</si>
</sst>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1" xfId="0" applyNumberFormat="1" applyBorder="1"/>
    <xf numFmtId="164" fontId="0" fillId="0" borderId="0" xfId="0" applyNumberFormat="1"/>
    <xf numFmtId="164" fontId="0" fillId="0" borderId="2" xfId="0" applyNumberFormat="1" applyBorder="1"/>
    <xf numFmtId="164" fontId="0" fillId="0" borderId="3" xfId="0" applyNumberFormat="1" applyBorder="1"/>
    <xf numFmtId="164" fontId="0" fillId="0" borderId="4" xfId="0" applyNumberFormat="1" applyBorder="1"/>
    <xf numFmtId="0" fontId="1" fillId="0" borderId="0" xfId="0" applyFont="1" applyAlignment="1">
      <alignment horizontal="center"/>
    </xf>
    <xf numFmtId="164" fontId="0" fillId="0" borderId="6" xfId="0" applyNumberFormat="1" applyBorder="1"/>
    <xf numFmtId="0" fontId="0" fillId="0" borderId="3" xfId="0" applyBorder="1"/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6D02A-A68A-40F9-BB04-EE6A88EC8B96}">
  <dimension ref="B2:P19"/>
  <sheetViews>
    <sheetView tabSelected="1" workbookViewId="0">
      <selection activeCell="K26" sqref="K26"/>
    </sheetView>
  </sheetViews>
  <sheetFormatPr defaultRowHeight="15" x14ac:dyDescent="0.25"/>
  <cols>
    <col min="2" max="2" width="10" bestFit="1" customWidth="1"/>
    <col min="3" max="5" width="12.7109375" customWidth="1"/>
    <col min="6" max="6" width="8" customWidth="1"/>
    <col min="7" max="7" width="12.7109375" customWidth="1"/>
    <col min="9" max="9" width="21.5703125" customWidth="1"/>
    <col min="11" max="11" width="9.7109375" bestFit="1" customWidth="1"/>
    <col min="12" max="12" width="10.140625" bestFit="1" customWidth="1"/>
  </cols>
  <sheetData>
    <row r="2" spans="2:16" x14ac:dyDescent="0.25">
      <c r="B2" s="1" t="s">
        <v>0</v>
      </c>
      <c r="C2" s="10" t="s">
        <v>7</v>
      </c>
      <c r="D2" s="10"/>
      <c r="E2" s="11"/>
      <c r="F2" s="7"/>
      <c r="G2" s="1" t="s">
        <v>10</v>
      </c>
      <c r="I2" s="1" t="s">
        <v>8</v>
      </c>
      <c r="L2" s="1" t="s">
        <v>11</v>
      </c>
      <c r="P2" s="1" t="s">
        <v>13</v>
      </c>
    </row>
    <row r="3" spans="2:16" x14ac:dyDescent="0.25">
      <c r="B3" t="s">
        <v>1</v>
      </c>
      <c r="C3" s="2">
        <v>42000</v>
      </c>
      <c r="D3" s="8"/>
      <c r="E3" s="2"/>
      <c r="F3" s="3"/>
      <c r="G3" s="2">
        <v>38000</v>
      </c>
      <c r="H3" s="3"/>
      <c r="I3" s="4">
        <v>150000</v>
      </c>
      <c r="K3" t="str">
        <f>B3</f>
        <v>Anh Hưng</v>
      </c>
      <c r="L3" s="3">
        <f t="shared" ref="L3:L8" si="0">IFERROR(ROUND(SUM(C3:E3)*($I$19/$C$17),-3),"--")</f>
        <v>33000</v>
      </c>
      <c r="O3" s="3"/>
      <c r="P3" t="str">
        <f>IFERROR(IF(L3&lt;&gt;0,"- "&amp;K3&amp;": "&amp;L3/1000&amp;"k",""),"")</f>
        <v>- Anh Hưng: 33k</v>
      </c>
    </row>
    <row r="4" spans="2:16" x14ac:dyDescent="0.25">
      <c r="B4" t="s">
        <v>2</v>
      </c>
      <c r="C4" s="2">
        <v>73000</v>
      </c>
      <c r="D4" s="2"/>
      <c r="E4" s="6"/>
      <c r="F4" s="3"/>
      <c r="G4" s="3"/>
      <c r="H4" s="3"/>
      <c r="I4" s="5"/>
      <c r="K4" t="str">
        <f t="shared" ref="K4:K11" si="1">B4</f>
        <v>Anh Trung</v>
      </c>
      <c r="L4" s="3">
        <f t="shared" si="0"/>
        <v>58000</v>
      </c>
      <c r="P4" t="str">
        <f t="shared" ref="P4:P15" si="2">IFERROR(IF(L4&lt;&gt;0,"- "&amp;K4&amp;": "&amp;L4/1000&amp;"k",""),"")</f>
        <v>- Anh Trung: 58k</v>
      </c>
    </row>
    <row r="5" spans="2:16" x14ac:dyDescent="0.25">
      <c r="B5" t="s">
        <v>3</v>
      </c>
      <c r="C5" s="2">
        <v>84000</v>
      </c>
      <c r="D5" s="2"/>
      <c r="E5" s="2"/>
      <c r="F5" s="3"/>
      <c r="G5" s="3"/>
      <c r="H5" s="3"/>
      <c r="I5" s="5"/>
      <c r="K5" t="str">
        <f t="shared" si="1"/>
        <v>Vân</v>
      </c>
      <c r="L5" s="3">
        <f t="shared" si="0"/>
        <v>67000</v>
      </c>
      <c r="P5" t="str">
        <f t="shared" si="2"/>
        <v>- Vân: 67k</v>
      </c>
    </row>
    <row r="6" spans="2:16" x14ac:dyDescent="0.25">
      <c r="B6" t="s">
        <v>4</v>
      </c>
      <c r="C6" s="2">
        <v>51000</v>
      </c>
      <c r="D6" s="2"/>
      <c r="E6" s="2"/>
      <c r="F6" s="3"/>
      <c r="G6" s="3"/>
      <c r="H6" s="3"/>
      <c r="I6" s="5"/>
      <c r="K6" t="str">
        <f t="shared" si="1"/>
        <v>Nhung</v>
      </c>
      <c r="L6" s="3">
        <f t="shared" si="0"/>
        <v>41000</v>
      </c>
      <c r="P6" t="str">
        <f t="shared" si="2"/>
        <v>- Nhung: 41k</v>
      </c>
    </row>
    <row r="7" spans="2:16" x14ac:dyDescent="0.25">
      <c r="B7" t="s">
        <v>14</v>
      </c>
      <c r="C7" s="2">
        <v>42000</v>
      </c>
      <c r="D7" s="2"/>
      <c r="E7" s="2"/>
      <c r="F7" s="3"/>
      <c r="G7" s="3"/>
      <c r="H7" s="3"/>
      <c r="I7" s="5"/>
      <c r="K7" t="str">
        <f t="shared" si="1"/>
        <v>Thanh</v>
      </c>
      <c r="L7" s="3">
        <f t="shared" si="0"/>
        <v>33000</v>
      </c>
      <c r="P7" t="str">
        <f t="shared" si="2"/>
        <v>- Thanh: 33k</v>
      </c>
    </row>
    <row r="8" spans="2:16" x14ac:dyDescent="0.25">
      <c r="B8" t="s">
        <v>5</v>
      </c>
      <c r="C8" s="2">
        <v>48000</v>
      </c>
      <c r="D8" s="2"/>
      <c r="E8" s="2"/>
      <c r="F8" s="3"/>
      <c r="G8" s="3"/>
      <c r="H8" s="3"/>
      <c r="I8" s="5"/>
      <c r="K8" t="str">
        <f t="shared" si="1"/>
        <v>Dung</v>
      </c>
      <c r="L8" s="3">
        <f t="shared" si="0"/>
        <v>38000</v>
      </c>
      <c r="P8" t="str">
        <f t="shared" si="2"/>
        <v>- Dung: 38k</v>
      </c>
    </row>
    <row r="9" spans="2:16" x14ac:dyDescent="0.25">
      <c r="B9" t="s">
        <v>6</v>
      </c>
      <c r="C9" s="2"/>
      <c r="D9" s="2"/>
      <c r="E9" s="2"/>
      <c r="F9" s="3"/>
      <c r="G9" s="3"/>
      <c r="H9" s="3"/>
      <c r="I9" s="5"/>
      <c r="K9" t="str">
        <f t="shared" si="1"/>
        <v>Minh</v>
      </c>
      <c r="L9" s="3">
        <f t="shared" ref="L9:L15" si="3">IFERROR(ROUND(SUM(C9:E9)*($I$19/$C$17),-3),"--")</f>
        <v>0</v>
      </c>
      <c r="P9" t="str">
        <f t="shared" si="2"/>
        <v/>
      </c>
    </row>
    <row r="10" spans="2:16" x14ac:dyDescent="0.25">
      <c r="B10" t="s">
        <v>15</v>
      </c>
      <c r="C10" s="2">
        <v>42000</v>
      </c>
      <c r="D10" s="2"/>
      <c r="E10" s="2"/>
      <c r="F10" s="3"/>
      <c r="G10" s="3"/>
      <c r="H10" s="3"/>
      <c r="I10" s="5"/>
      <c r="K10" t="str">
        <f t="shared" si="1"/>
        <v>Hưng</v>
      </c>
      <c r="L10" s="3">
        <f t="shared" si="3"/>
        <v>33000</v>
      </c>
      <c r="P10" t="str">
        <f t="shared" si="2"/>
        <v>- Hưng: 33k</v>
      </c>
    </row>
    <row r="11" spans="2:16" x14ac:dyDescent="0.25">
      <c r="B11" t="s">
        <v>16</v>
      </c>
      <c r="C11" s="2">
        <v>72000</v>
      </c>
      <c r="D11" s="2"/>
      <c r="E11" s="2"/>
      <c r="F11" s="3"/>
      <c r="G11" s="3"/>
      <c r="H11" s="3"/>
      <c r="I11" s="5"/>
      <c r="K11" t="str">
        <f t="shared" si="1"/>
        <v>Khanh</v>
      </c>
      <c r="L11" s="3">
        <f t="shared" si="3"/>
        <v>57000</v>
      </c>
      <c r="P11" t="str">
        <f t="shared" si="2"/>
        <v>- Khanh: 57k</v>
      </c>
    </row>
    <row r="12" spans="2:16" x14ac:dyDescent="0.25">
      <c r="B12" t="s">
        <v>17</v>
      </c>
      <c r="C12" s="2"/>
      <c r="D12" s="2"/>
      <c r="E12" s="2"/>
      <c r="F12" s="3"/>
      <c r="G12" s="3"/>
      <c r="H12" s="3"/>
      <c r="I12" s="5"/>
      <c r="K12" t="s">
        <v>17</v>
      </c>
      <c r="L12" s="3">
        <f t="shared" si="3"/>
        <v>0</v>
      </c>
      <c r="P12" t="str">
        <f t="shared" si="2"/>
        <v/>
      </c>
    </row>
    <row r="13" spans="2:16" x14ac:dyDescent="0.25">
      <c r="B13" t="s">
        <v>18</v>
      </c>
      <c r="C13" s="2">
        <v>51000</v>
      </c>
      <c r="D13" s="2"/>
      <c r="E13" s="2"/>
      <c r="F13" s="3"/>
      <c r="G13" s="3"/>
      <c r="H13" s="3"/>
      <c r="I13" s="5"/>
      <c r="K13" t="s">
        <v>18</v>
      </c>
      <c r="L13" s="3">
        <f t="shared" si="3"/>
        <v>41000</v>
      </c>
      <c r="P13" t="str">
        <f t="shared" si="2"/>
        <v>- Bé Thanh: 41k</v>
      </c>
    </row>
    <row r="14" spans="2:16" x14ac:dyDescent="0.25">
      <c r="B14" t="s">
        <v>19</v>
      </c>
      <c r="C14" s="2">
        <v>42000</v>
      </c>
      <c r="D14" s="2"/>
      <c r="E14" s="2"/>
      <c r="F14" s="3"/>
      <c r="G14" s="3"/>
      <c r="H14" s="3"/>
      <c r="I14" s="9"/>
      <c r="K14" t="s">
        <v>19</v>
      </c>
      <c r="L14" s="3">
        <f t="shared" si="3"/>
        <v>33000</v>
      </c>
      <c r="P14" t="str">
        <f t="shared" si="2"/>
        <v>- Giang: 33k</v>
      </c>
    </row>
    <row r="15" spans="2:16" x14ac:dyDescent="0.25">
      <c r="B15" t="s">
        <v>20</v>
      </c>
      <c r="C15" s="2"/>
      <c r="D15" s="2"/>
      <c r="E15" s="2"/>
      <c r="F15" s="3"/>
      <c r="G15" s="3"/>
      <c r="H15" s="3"/>
      <c r="I15" s="6"/>
      <c r="K15" t="s">
        <v>20</v>
      </c>
      <c r="L15" s="3">
        <f t="shared" si="3"/>
        <v>0</v>
      </c>
      <c r="P15" t="str">
        <f t="shared" si="2"/>
        <v/>
      </c>
    </row>
    <row r="16" spans="2:16" x14ac:dyDescent="0.25">
      <c r="C16" s="3"/>
      <c r="D16" s="3"/>
      <c r="E16" s="3"/>
      <c r="F16" s="3"/>
      <c r="G16" s="3"/>
      <c r="H16" s="3"/>
      <c r="I16" s="3"/>
    </row>
    <row r="17" spans="2:12" x14ac:dyDescent="0.25">
      <c r="B17" t="s">
        <v>9</v>
      </c>
      <c r="C17" s="3">
        <f>SUM(C3:E15)</f>
        <v>547000</v>
      </c>
      <c r="D17" s="3"/>
      <c r="E17" s="3"/>
      <c r="F17" s="3"/>
      <c r="G17" s="3">
        <f>SUM(G3:G14)</f>
        <v>38000</v>
      </c>
      <c r="H17" s="3"/>
      <c r="I17" s="3">
        <f>SUM(I3:I15)</f>
        <v>150000</v>
      </c>
      <c r="L17" s="3">
        <f>SUM(L3:L15)</f>
        <v>434000</v>
      </c>
    </row>
    <row r="18" spans="2:12" x14ac:dyDescent="0.25">
      <c r="L18" s="3"/>
    </row>
    <row r="19" spans="2:12" x14ac:dyDescent="0.25">
      <c r="H19" s="1" t="s">
        <v>12</v>
      </c>
      <c r="I19" s="3">
        <f>C17+G17-I17</f>
        <v>435000</v>
      </c>
    </row>
  </sheetData>
  <mergeCells count="1">
    <mergeCell ref="C2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HongNhung</dc:creator>
  <cp:lastModifiedBy>Hồng Nhung Trần</cp:lastModifiedBy>
  <dcterms:created xsi:type="dcterms:W3CDTF">2023-06-07T12:33:58Z</dcterms:created>
  <dcterms:modified xsi:type="dcterms:W3CDTF">2026-05-14T12:36:35Z</dcterms:modified>
</cp:coreProperties>
</file>